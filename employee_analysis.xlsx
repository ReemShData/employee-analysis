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Analysis" sheetId="2" state="visible" r:id="rId2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\$#,##0"/>
  </numFmts>
  <fonts count="6">
    <font>
      <name val="Arial"/>
      <charset val="1"/>
      <family val="2"/>
      <color theme="1"/>
      <sz val="11"/>
    </font>
    <font>
      <name val="Arial"/>
      <charset val="1"/>
      <family val="2"/>
      <b val="1"/>
      <color theme="1"/>
      <sz val="11"/>
    </font>
    <font>
      <name val="Cambria"/>
      <charset val="1"/>
      <b val="1"/>
      <color rgb="FF2F5597"/>
      <sz val="15"/>
    </font>
    <font>
      <name val="Cambria"/>
      <charset val="1"/>
      <b val="1"/>
      <color rgb="FFFFFFFF"/>
      <sz val="11"/>
    </font>
    <font>
      <name val="Cambria"/>
      <charset val="1"/>
      <sz val="11"/>
    </font>
    <font>
      <name val="Cambria"/>
      <charset val="1"/>
      <b val="1"/>
      <sz val="11"/>
    </font>
  </fonts>
  <fills count="3">
    <fill>
      <patternFill/>
    </fill>
    <fill>
      <patternFill patternType="gray125"/>
    </fill>
    <fill>
      <patternFill patternType="solid">
        <fgColor rgb="FF2F5597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عادي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Salary by Department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Analysis!C4</f>
              <strCache>
                <ptCount val="1"/>
                <pt idx="0">
                  <v>Average Salary ($)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 w="6480">
              <a:solidFill>
                <a:srgbClr val="FFFFFF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Analysis!$B$5:$B$7</f>
              <strCache>
                <ptCount val="3"/>
                <pt idx="0">
                  <v>Sales</v>
                </pt>
                <pt idx="1">
                  <v>IT</v>
                </pt>
                <pt idx="2">
                  <v>HR</v>
                </pt>
              </strCache>
            </strRef>
          </cat>
          <val>
            <numRef>
              <f>Analysis!$C$5:$C$7</f>
              <numCache>
                <formatCode>\$#,##0</formatCode>
                <ptCount val="3"/>
                <pt idx="0">
                  <v>5425</v>
                </pt>
                <pt idx="1">
                  <v>7425</v>
                </pt>
                <pt idx="2">
                  <v>4650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650615"/>
        <axId val="11416007"/>
      </barChart>
      <catAx>
        <axId val="1165061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11416007"/>
        <crosses val="autoZero"/>
        <auto val="1"/>
        <lblAlgn val="ctr"/>
        <lblOffset val="100"/>
        <noMultiLvlLbl val="0"/>
      </catAx>
      <valAx>
        <axId val="11416007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Salary ($)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1165061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3</col>
      <colOff>552450</colOff>
      <row>0</row>
      <rowOff>2565</rowOff>
    </from>
    <to>
      <col>13</col>
      <colOff>368265</colOff>
      <row>22</row>
      <rowOff>93405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الجدول1" displayName="الجدول1" ref="A1:G13" headerRowCount="1" totalsRowShown="0">
  <autoFilter ref="A1:G1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</autoFilter>
  <tableColumns count="7">
    <tableColumn id="1" name="Employee ID"/>
    <tableColumn id="2" name="Name"/>
    <tableColumn id="3" name="Department"/>
    <tableColumn id="4" name="Salary ($)"/>
    <tableColumn id="5" name="Performance Score"/>
    <tableColumn id="6" name="Years of Experience"/>
    <tableColumn id="7" name="Absent Day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Normal="100" workbookViewId="0">
      <pane ySplit="1" topLeftCell="A2" activePane="bottomLeft" state="frozen"/>
      <selection pane="bottomLeft" activeCell="E19" sqref="E19"/>
    </sheetView>
  </sheetViews>
  <sheetFormatPr baseColWidth="8" defaultColWidth="8.625" defaultRowHeight="14.25"/>
  <cols>
    <col width="14" customWidth="1" style="1" min="1" max="1"/>
    <col width="13.125" customWidth="1" style="1" min="3" max="3"/>
    <col width="17.875" customWidth="1" style="1" min="4" max="4"/>
    <col width="20" customWidth="1" style="1" min="5" max="5"/>
    <col width="20.625" customWidth="1" style="1" min="6" max="6"/>
    <col width="14.125" customWidth="1" style="1" min="7" max="7"/>
  </cols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 ($)</t>
        </is>
      </c>
      <c r="E1" t="inlineStr">
        <is>
          <t>Performance Score</t>
        </is>
      </c>
      <c r="F1" t="inlineStr">
        <is>
          <t>Years of Experience</t>
        </is>
      </c>
      <c r="G1" t="inlineStr">
        <is>
          <t>Absent Days</t>
        </is>
      </c>
    </row>
    <row r="2" ht="15" customHeight="1" s="1">
      <c r="A2" s="2" t="inlineStr">
        <is>
          <t>E001</t>
        </is>
      </c>
      <c r="B2" s="2" t="inlineStr">
        <is>
          <t>Alice</t>
        </is>
      </c>
      <c r="C2" s="2" t="inlineStr">
        <is>
          <t>Sales</t>
        </is>
      </c>
      <c r="D2" s="2" t="n">
        <v>5000</v>
      </c>
      <c r="E2" s="2" t="n">
        <v>85</v>
      </c>
      <c r="F2" s="2" t="n">
        <v>3</v>
      </c>
      <c r="G2" s="2" t="n">
        <v>2</v>
      </c>
    </row>
    <row r="3" ht="15" customHeight="1" s="1">
      <c r="A3" s="2" t="inlineStr">
        <is>
          <t>E002</t>
        </is>
      </c>
      <c r="B3" s="2" t="inlineStr">
        <is>
          <t>Bob</t>
        </is>
      </c>
      <c r="C3" s="2" t="inlineStr">
        <is>
          <t>IT</t>
        </is>
      </c>
      <c r="D3" s="2" t="n">
        <v>7000</v>
      </c>
      <c r="E3" s="2" t="n">
        <v>90</v>
      </c>
      <c r="F3" s="2" t="n">
        <v>5</v>
      </c>
      <c r="G3" s="2" t="n">
        <v>1</v>
      </c>
    </row>
    <row r="4" ht="15" customHeight="1" s="1">
      <c r="A4" s="2" t="inlineStr">
        <is>
          <t>E003</t>
        </is>
      </c>
      <c r="B4" s="2" t="inlineStr">
        <is>
          <t>Carol</t>
        </is>
      </c>
      <c r="C4" s="2" t="inlineStr">
        <is>
          <t>HR</t>
        </is>
      </c>
      <c r="D4" s="2" t="n">
        <v>4500</v>
      </c>
      <c r="E4" s="2" t="n">
        <v>78</v>
      </c>
      <c r="F4" s="2" t="n">
        <v>2</v>
      </c>
      <c r="G4" s="2" t="n">
        <v>4</v>
      </c>
    </row>
    <row r="5" ht="15" customHeight="1" s="1">
      <c r="A5" s="2" t="inlineStr">
        <is>
          <t>E004</t>
        </is>
      </c>
      <c r="B5" s="2" t="inlineStr">
        <is>
          <t>David</t>
        </is>
      </c>
      <c r="C5" s="2" t="inlineStr">
        <is>
          <t>Sales</t>
        </is>
      </c>
      <c r="D5" s="2" t="n">
        <v>5500</v>
      </c>
      <c r="E5" s="2" t="n">
        <v>92</v>
      </c>
      <c r="F5" s="2" t="n">
        <v>4</v>
      </c>
      <c r="G5" s="2" t="n">
        <v>0</v>
      </c>
    </row>
    <row r="6" ht="15" customHeight="1" s="1">
      <c r="A6" s="2" t="inlineStr">
        <is>
          <t>E005</t>
        </is>
      </c>
      <c r="B6" s="2" t="inlineStr">
        <is>
          <t>Eva</t>
        </is>
      </c>
      <c r="C6" s="2" t="inlineStr">
        <is>
          <t>IT</t>
        </is>
      </c>
      <c r="D6" s="2" t="n">
        <v>8000</v>
      </c>
      <c r="E6" s="2" t="n">
        <v>88</v>
      </c>
      <c r="F6" s="2" t="n">
        <v>6</v>
      </c>
      <c r="G6" s="2" t="n">
        <v>2</v>
      </c>
    </row>
    <row r="7" ht="15" customHeight="1" s="1">
      <c r="A7" s="2" t="inlineStr">
        <is>
          <t>E006</t>
        </is>
      </c>
      <c r="B7" s="2" t="inlineStr">
        <is>
          <t>Frank</t>
        </is>
      </c>
      <c r="C7" s="2" t="inlineStr">
        <is>
          <t>HR</t>
        </is>
      </c>
      <c r="D7" s="2" t="n">
        <v>4800</v>
      </c>
      <c r="E7" s="2" t="n">
        <v>70</v>
      </c>
      <c r="F7" s="2" t="n">
        <v>1</v>
      </c>
      <c r="G7" s="2" t="n">
        <v>6</v>
      </c>
    </row>
    <row r="8" ht="15" customHeight="1" s="1">
      <c r="A8" s="2" t="inlineStr">
        <is>
          <t>E007</t>
        </is>
      </c>
      <c r="B8" s="2" t="inlineStr">
        <is>
          <t>Grace</t>
        </is>
      </c>
      <c r="C8" s="2" t="inlineStr">
        <is>
          <t>Sales</t>
        </is>
      </c>
      <c r="D8" s="2" t="n">
        <v>6000</v>
      </c>
      <c r="E8" s="2" t="n">
        <v>95</v>
      </c>
      <c r="F8" s="2" t="n">
        <v>7</v>
      </c>
      <c r="G8" s="2" t="n">
        <v>1</v>
      </c>
    </row>
    <row r="9" ht="15" customHeight="1" s="1">
      <c r="A9" s="2" t="inlineStr">
        <is>
          <t>E008</t>
        </is>
      </c>
      <c r="B9" s="2" t="inlineStr">
        <is>
          <t>Henry</t>
        </is>
      </c>
      <c r="C9" s="2" t="inlineStr">
        <is>
          <t>IT</t>
        </is>
      </c>
      <c r="D9" s="2" t="n">
        <v>7500</v>
      </c>
      <c r="E9" s="2" t="n">
        <v>80</v>
      </c>
      <c r="F9" s="2" t="n">
        <v>4</v>
      </c>
      <c r="G9" s="2" t="n">
        <v>3</v>
      </c>
    </row>
    <row r="10" ht="15" customHeight="1" s="1">
      <c r="A10" s="2" t="inlineStr">
        <is>
          <t>E009</t>
        </is>
      </c>
      <c r="B10" s="2" t="inlineStr">
        <is>
          <t>Iris</t>
        </is>
      </c>
      <c r="C10" s="2" t="inlineStr">
        <is>
          <t>HR</t>
        </is>
      </c>
      <c r="D10" s="2" t="n">
        <v>4600</v>
      </c>
      <c r="E10" s="2" t="n">
        <v>74</v>
      </c>
      <c r="F10" s="2" t="n">
        <v>2</v>
      </c>
      <c r="G10" s="2" t="n">
        <v>5</v>
      </c>
    </row>
    <row r="11" ht="15" customHeight="1" s="1">
      <c r="A11" s="2" t="inlineStr">
        <is>
          <t>E010</t>
        </is>
      </c>
      <c r="B11" s="2" t="inlineStr">
        <is>
          <t>Jack</t>
        </is>
      </c>
      <c r="C11" s="2" t="inlineStr">
        <is>
          <t>Sales</t>
        </is>
      </c>
      <c r="D11" s="2" t="n">
        <v>5200</v>
      </c>
      <c r="E11" s="2" t="n">
        <v>88</v>
      </c>
      <c r="F11" s="2" t="n">
        <v>3</v>
      </c>
      <c r="G11" s="2" t="n">
        <v>2</v>
      </c>
    </row>
    <row r="12" ht="15" customHeight="1" s="1">
      <c r="A12" s="2" t="inlineStr">
        <is>
          <t>E011</t>
        </is>
      </c>
      <c r="B12" s="2" t="inlineStr">
        <is>
          <t>Karen</t>
        </is>
      </c>
      <c r="C12" s="2" t="inlineStr">
        <is>
          <t>IT</t>
        </is>
      </c>
      <c r="D12" s="2" t="n">
        <v>7200</v>
      </c>
      <c r="E12" s="2" t="n">
        <v>93</v>
      </c>
      <c r="F12" s="2" t="n">
        <v>5</v>
      </c>
      <c r="G12" s="2" t="n">
        <v>1</v>
      </c>
    </row>
    <row r="13" ht="15" customHeight="1" s="1">
      <c r="A13" s="2" t="inlineStr">
        <is>
          <t>E012</t>
        </is>
      </c>
      <c r="B13" s="2" t="inlineStr">
        <is>
          <t>Leo</t>
        </is>
      </c>
      <c r="C13" s="2" t="inlineStr">
        <is>
          <t>HR</t>
        </is>
      </c>
      <c r="D13" s="2" t="n">
        <v>4700</v>
      </c>
      <c r="E13" s="2" t="n">
        <v>76</v>
      </c>
      <c r="F13" s="2" t="n">
        <v>2</v>
      </c>
      <c r="G13" s="2" t="n">
        <v>4</v>
      </c>
    </row>
  </sheetData>
  <dataValidations count="1">
    <dataValidation sqref="C2:C1000" showDropDown="0" showInputMessage="0" showErrorMessage="1" allowBlank="0" errorTitle="Invalid Department" error="Please select: Sales, IT, or HR" type="list">
      <formula1>"Sales,IT,HR"</formula1>
    </dataValidation>
  </dataValidations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6"/>
  <sheetViews>
    <sheetView tabSelected="1" topLeftCell="A8" zoomScaleNormal="100" workbookViewId="0">
      <selection activeCell="P15" sqref="P15"/>
    </sheetView>
  </sheetViews>
  <sheetFormatPr baseColWidth="8" defaultColWidth="8.625" defaultRowHeight="15"/>
  <cols>
    <col width="22" customWidth="1" style="1" min="2" max="3"/>
  </cols>
  <sheetData>
    <row r="2" ht="18.6" customHeight="1" s="1">
      <c r="B2" s="3" t="inlineStr">
        <is>
          <t>Employee Performance Analysis</t>
        </is>
      </c>
    </row>
    <row r="4">
      <c r="B4" s="4" t="inlineStr">
        <is>
          <t>Department</t>
        </is>
      </c>
      <c r="C4" s="4" t="inlineStr">
        <is>
          <t>Average Salary ($)</t>
        </is>
      </c>
    </row>
    <row r="5">
      <c r="B5" s="5" t="inlineStr">
        <is>
          <t>Sales</t>
        </is>
      </c>
      <c r="C5" s="6">
        <f>AVERAGEIF('Raw Data'!C:C,B5,'Raw Data'!D:D)</f>
        <v/>
      </c>
    </row>
    <row r="6">
      <c r="B6" s="5" t="inlineStr">
        <is>
          <t>IT</t>
        </is>
      </c>
      <c r="C6" s="6">
        <f>AVERAGEIF('Raw Data'!C:C,B6,'Raw Data'!D:D)</f>
        <v/>
      </c>
    </row>
    <row r="7">
      <c r="B7" s="5" t="inlineStr">
        <is>
          <t>HR</t>
        </is>
      </c>
      <c r="C7" s="6">
        <f>AVERAGEIF('Raw Data'!C:C,B7,'Raw Data'!D:D)</f>
        <v/>
      </c>
    </row>
    <row r="9">
      <c r="B9" s="7" t="inlineStr">
        <is>
          <t>Best Performer</t>
        </is>
      </c>
      <c r="C9" s="5">
        <f>INDEX('Raw Data'!B:B,MATCH(MAX('Raw Data'!E:E),'Raw Data'!E:E,0))</f>
        <v/>
      </c>
    </row>
    <row r="11">
      <c r="B11" s="4" t="inlineStr">
        <is>
          <t>Department</t>
        </is>
      </c>
      <c r="C11" s="4" t="inlineStr">
        <is>
          <t>Headcount</t>
        </is>
      </c>
    </row>
    <row r="12">
      <c r="B12" s="5" t="inlineStr">
        <is>
          <t>Sales</t>
        </is>
      </c>
      <c r="C12" s="5">
        <f>COUNTIF('Raw Data'!C2:C13,B12)</f>
        <v/>
      </c>
    </row>
    <row r="13">
      <c r="B13" s="5" t="inlineStr">
        <is>
          <t>IT</t>
        </is>
      </c>
      <c r="C13" s="5">
        <f>COUNTIF('Raw Data'!C2:C13,B13)</f>
        <v/>
      </c>
    </row>
    <row r="14">
      <c r="B14" s="5" t="inlineStr">
        <is>
          <t>HR</t>
        </is>
      </c>
      <c r="C14" s="5">
        <f>COUNTIF('Raw Data'!C2:C13,B14)</f>
        <v/>
      </c>
    </row>
    <row r="16">
      <c r="B16" s="7" t="inlineStr">
        <is>
          <t>Average Absent Days</t>
        </is>
      </c>
      <c r="C16" s="5">
        <f>ROUND(AVERAGE('Raw Data'!G2:G13),2)</f>
        <v/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2026-05-06T03:44:06Z</dcterms:created>
  <dcterms:modified xmlns:dcterms="http://purl.org/dc/terms/" xmlns:xsi="http://www.w3.org/2001/XMLSchema-instance" xsi:type="dcterms:W3CDTF">2026-05-06T05:22:17Z</dcterms:modified>
  <cp:revision>1</cp:revision>
</cp:coreProperties>
</file>